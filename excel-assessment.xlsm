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YALI PAWAR\MapUp-Data-Assessment-F\"/>
    </mc:Choice>
  </mc:AlternateContent>
  <xr:revisionPtr revIDLastSave="0" documentId="13_ncr:1_{4A656D16-5583-43D7-95D4-4CA7B8452E8C}" xr6:coauthVersionLast="47" xr6:coauthVersionMax="47" xr10:uidLastSave="{00000000-0000-0000-0000-000000000000}"/>
  <bookViews>
    <workbookView xWindow="-108" yWindow="-108" windowWidth="23256" windowHeight="12576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Dataset!$H$1:$H$51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D5" i="15" l="1"/>
  <c r="D22" i="19"/>
  <c r="D12" i="19"/>
  <c r="D21" i="19"/>
  <c r="D13" i="19"/>
  <c r="D14" i="19"/>
  <c r="D15" i="19"/>
  <c r="D16" i="19"/>
  <c r="D17" i="19"/>
  <c r="D18" i="19"/>
  <c r="D19" i="19"/>
  <c r="D20" i="19"/>
  <c r="E23" i="20"/>
  <c r="D23" i="20" s="1"/>
  <c r="F23" i="20"/>
  <c r="D24" i="20"/>
  <c r="E24" i="20"/>
  <c r="F24" i="20"/>
  <c r="E25" i="20"/>
  <c r="D25" i="20" s="1"/>
  <c r="F25" i="20"/>
  <c r="E26" i="20"/>
  <c r="D26" i="20" s="1"/>
  <c r="F26" i="20"/>
  <c r="E27" i="20"/>
  <c r="D27" i="20" s="1"/>
  <c r="F27" i="20"/>
  <c r="D28" i="20"/>
  <c r="E28" i="20"/>
  <c r="F28" i="20"/>
  <c r="E29" i="20"/>
  <c r="D29" i="20" s="1"/>
  <c r="F29" i="20"/>
  <c r="E30" i="20"/>
  <c r="D30" i="20" s="1"/>
  <c r="F30" i="20"/>
  <c r="E31" i="20"/>
  <c r="D31" i="20" s="1"/>
  <c r="F31" i="20"/>
  <c r="D32" i="20"/>
  <c r="E32" i="20"/>
  <c r="F32" i="20"/>
  <c r="E33" i="20"/>
  <c r="D33" i="20" s="1"/>
  <c r="F33" i="20"/>
  <c r="E34" i="20"/>
  <c r="D34" i="20" s="1"/>
  <c r="F34" i="20"/>
  <c r="E35" i="20"/>
  <c r="D35" i="20" s="1"/>
  <c r="F35" i="20"/>
  <c r="C33" i="20"/>
  <c r="C34" i="20"/>
  <c r="C35" i="20"/>
  <c r="C24" i="20"/>
  <c r="C25" i="20"/>
  <c r="C26" i="20"/>
  <c r="C27" i="20"/>
  <c r="C28" i="20"/>
  <c r="C29" i="20"/>
  <c r="C30" i="20"/>
  <c r="C31" i="20"/>
  <c r="C32" i="20"/>
  <c r="C23" i="20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D30" i="18" l="1"/>
  <c r="F30" i="18"/>
  <c r="B29" i="18"/>
  <c r="C28" i="18"/>
  <c r="F29" i="18"/>
  <c r="B28" i="18"/>
  <c r="C30" i="18"/>
  <c r="E30" i="18"/>
  <c r="D28" i="18"/>
  <c r="C29" i="18"/>
  <c r="B30" i="18"/>
  <c r="E28" i="18"/>
  <c r="D29" i="18"/>
  <c r="F28" i="18"/>
  <c r="E29" i="18"/>
  <c r="C22" i="19"/>
</calcChain>
</file>

<file path=xl/sharedStrings.xml><?xml version="1.0" encoding="utf-8"?>
<sst xmlns="http://schemas.openxmlformats.org/spreadsheetml/2006/main" count="416" uniqueCount="191">
  <si>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</si>
  <si>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</si>
  <si>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</si>
  <si>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</si>
  <si>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</si>
  <si>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</si>
  <si>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</si>
  <si>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</si>
  <si>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</si>
  <si>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</si>
  <si>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</si>
  <si>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</si>
  <si>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</si>
  <si>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</si>
  <si>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</si>
  <si>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</si>
  <si>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</si>
  <si>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</si>
  <si>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</si>
  <si>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</si>
  <si>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</si>
  <si>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</si>
  <si>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</si>
  <si>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</si>
  <si>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</si>
  <si>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</si>
  <si>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</si>
  <si>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</si>
  <si>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</si>
  <si>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</si>
  <si>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</si>
  <si>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</si>
  <si>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</si>
  <si>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</si>
  <si>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</si>
  <si>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</si>
  <si>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</si>
  <si>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</si>
  <si>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</si>
  <si>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</si>
  <si>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</si>
  <si>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</si>
  <si>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</si>
  <si>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</si>
  <si>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</si>
  <si>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</si>
  <si>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</si>
  <si>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</si>
  <si>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</si>
  <si>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</si>
  <si>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</si>
  <si>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</si>
  <si>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</si>
  <si>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</si>
  <si>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</si>
  <si>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</si>
  <si>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</si>
  <si>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</si>
  <si>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</si>
  <si>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</si>
  <si>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</si>
  <si>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</si>
  <si>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</si>
  <si>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</si>
  <si>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</si>
  <si>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</si>
  <si>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</si>
  <si>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</si>
  <si>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</si>
  <si>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</si>
  <si>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</si>
  <si>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</si>
  <si>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</si>
  <si>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</si>
  <si>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</si>
  <si>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</si>
  <si>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</si>
  <si>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</si>
  <si>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</si>
  <si>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</si>
  <si>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</si>
  <si>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</si>
  <si>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</si>
  <si>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</si>
  <si>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</si>
  <si>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</si>
  <si>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</si>
  <si>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</si>
  <si>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</si>
  <si>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</si>
  <si>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</si>
  <si>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</si>
  <si>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</si>
  <si>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</si>
  <si>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</si>
  <si>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</si>
  <si>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</si>
  <si>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</si>
  <si>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</si>
  <si>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</si>
  <si>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</si>
  <si>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</si>
  <si>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</si>
  <si>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</si>
  <si>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</si>
  <si>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</si>
  <si>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</si>
  <si>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</si>
  <si>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</si>
  <si>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</si>
  <si>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</si>
  <si>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</si>
  <si>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</si>
  <si>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</si>
  <si>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</si>
  <si>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</si>
  <si>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</si>
  <si>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</si>
  <si>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</si>
  <si>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</si>
  <si>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</si>
  <si>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</si>
  <si>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</si>
  <si>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</si>
  <si>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</si>
  <si>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</si>
  <si>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</si>
  <si>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</si>
  <si>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</si>
  <si>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</si>
  <si>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</si>
  <si>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</si>
  <si>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</si>
  <si>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</si>
  <si>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</si>
  <si>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</si>
  <si>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</si>
  <si>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</si>
  <si>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</si>
  <si>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</si>
  <si>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</si>
  <si>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</si>
  <si>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</si>
  <si>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</si>
  <si>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</si>
  <si>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</si>
  <si>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</si>
  <si>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</si>
  <si>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</si>
  <si>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</si>
  <si>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</si>
  <si>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</si>
  <si>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</si>
  <si>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</si>
  <si>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</si>
  <si>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</si>
  <si>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</si>
  <si>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</si>
  <si>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</si>
  <si>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</si>
  <si>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</si>
  <si>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</si>
  <si>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</si>
  <si>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</si>
  <si>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</si>
  <si>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</si>
  <si>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</si>
  <si>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</si>
  <si>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</si>
  <si>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</si>
  <si>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</si>
  <si>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</si>
  <si>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</si>
  <si>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</si>
  <si>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</si>
  <si>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</si>
  <si>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</si>
  <si>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</si>
  <si>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*</t>
  </si>
  <si>
    <t>We can turn values(#N/A) into 20 by using the IFERROR() function and used VLOOKUP to find #N/A values</t>
  </si>
  <si>
    <t>IFERROR, VLOOKUP &amp; SUM</t>
  </si>
  <si>
    <t>Used the default function of excel- Text to Column</t>
  </si>
  <si>
    <t>Copied all the entires of value column and paste it in col_1 and applied text to column function</t>
  </si>
  <si>
    <t>Match1</t>
  </si>
  <si>
    <t>Match2</t>
  </si>
  <si>
    <t>Index</t>
  </si>
  <si>
    <t xml:space="preserve">Here, I have used INDEX and MATCH formula </t>
  </si>
  <si>
    <t>To get the result I have used INDEX which required the row_number and column_number and for that I have given index to each alphabet in Table_B</t>
  </si>
  <si>
    <t xml:space="preserve">After that to get the Index assigned to each ID I have used MATCH formula and that refernce has been used in INDEX formula (as shown in below 'Index column') </t>
  </si>
  <si>
    <t xml:space="preserve">to get the value assigned to each ID. In the final 'Value column' I have put the E23 &amp; F23 formula in the INDEX formula to get the required result </t>
  </si>
  <si>
    <t>&lt;- For explanation purpose (can be eased)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</si>
</sst>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8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>
      <selection activeCell="E15" sqref="E15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5" t="s">
        <v>172</v>
      </c>
      <c r="B9" s="25" t="s">
        <v>170</v>
      </c>
    </row>
    <row r="10" spans="1:3" x14ac:dyDescent="0.3">
      <c r="A10" s="34" t="s">
        <v>173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9"/>
  <sheetViews>
    <sheetView zoomScaleNormal="100" workbookViewId="0">
      <pane ySplit="1" topLeftCell="A2" activePane="bottomLeft" state="frozen"/>
      <selection pane="bottomLeft" activeCell="H52" sqref="H5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2" spans="1:24" x14ac:dyDescent="0.3">
      <c r="A42"/>
      <c r="B42"/>
      <c r="C42"/>
    </row>
    <row r="43" spans="1:24" x14ac:dyDescent="0.3">
      <c r="A43"/>
      <c r="B43"/>
      <c r="C43"/>
    </row>
    <row r="44" spans="1:24" x14ac:dyDescent="0.3">
      <c r="A44"/>
      <c r="B44"/>
      <c r="C44"/>
    </row>
    <row r="45" spans="1:24" x14ac:dyDescent="0.3">
      <c r="A45"/>
      <c r="B45"/>
      <c r="C45"/>
    </row>
    <row r="46" spans="1:24" x14ac:dyDescent="0.3">
      <c r="A46"/>
      <c r="B46"/>
      <c r="C46"/>
    </row>
    <row r="47" spans="1:24" x14ac:dyDescent="0.3">
      <c r="A47"/>
      <c r="B47"/>
      <c r="C47"/>
    </row>
    <row r="48" spans="1:24" x14ac:dyDescent="0.3">
      <c r="A48"/>
      <c r="B48"/>
      <c r="C48"/>
    </row>
    <row r="49" spans="1:3" x14ac:dyDescent="0.3">
      <c r="A49"/>
      <c r="B49"/>
      <c r="C49"/>
    </row>
  </sheetData>
  <conditionalFormatting sqref="A1:A41 A50:A1048576">
    <cfRule type="duplicateValues" dxfId="3" priority="4"/>
  </conditionalFormatting>
  <conditionalFormatting sqref="B1:B41 B50:B1048576">
    <cfRule type="duplicateValues" dxfId="2" priority="3"/>
  </conditionalFormatting>
  <conditionalFormatting sqref="A1:C40 E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5" sqref="D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D3" s="1" t="s">
        <v>178</v>
      </c>
      <c r="E3" s="1">
        <v>5</v>
      </c>
    </row>
    <row r="4" spans="1:5" x14ac:dyDescent="0.3">
      <c r="A4" s="6">
        <v>2</v>
      </c>
      <c r="B4" s="2" t="s">
        <v>46</v>
      </c>
      <c r="C4" s="2"/>
      <c r="D4" s="1" t="s">
        <v>178</v>
      </c>
      <c r="E4" s="1">
        <v>5</v>
      </c>
    </row>
    <row r="5" spans="1:5" x14ac:dyDescent="0.3">
      <c r="A5" s="6">
        <v>3</v>
      </c>
      <c r="B5" s="2" t="s">
        <v>104</v>
      </c>
      <c r="C5" s="33" t="s">
        <v>105</v>
      </c>
      <c r="D5" s="1">
        <f>SUMIF(Dataset!H2:H40, "&gt;20", Dataset!H2:H40)</f>
        <v>1473.0000000000002</v>
      </c>
      <c r="E5" s="1">
        <v>10</v>
      </c>
    </row>
    <row r="6" spans="1:5" x14ac:dyDescent="0.3">
      <c r="A6" s="6">
        <v>4</v>
      </c>
      <c r="B6" s="2" t="s">
        <v>107</v>
      </c>
      <c r="C6" s="2"/>
      <c r="D6" s="1" t="s">
        <v>178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4" zoomScaleNormal="100" workbookViewId="0">
      <selection activeCell="G30" sqref="G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165</v>
      </c>
    </row>
    <row r="2" spans="1:7" s="40" customFormat="1" ht="21" x14ac:dyDescent="0.4">
      <c r="B2" s="40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163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2">
        <f>VLOOKUP(A6,Dataset!A2:H40, 7,FALSE)</f>
        <v>2.7</v>
      </c>
      <c r="C6" s="12">
        <f>VLOOKUP(A6,Dataset!A2:O40, 14,FALSE)</f>
        <v>7.6</v>
      </c>
      <c r="D6" s="12">
        <f>VLOOKUP(A6,Dataset!A2:X40, 18,FALSE)</f>
        <v>4.2</v>
      </c>
      <c r="E6" s="12">
        <f>VLOOKUP(A6,Dataset!A2:X40,20,FALSE)</f>
        <v>8.9</v>
      </c>
      <c r="F6" s="8">
        <f>VLOOKUP(A6,Dataset!A2:X40, 22,FALSE)</f>
        <v>4.2</v>
      </c>
    </row>
    <row r="7" spans="1:7" ht="14.4" x14ac:dyDescent="0.3">
      <c r="A7" s="7" t="s">
        <v>4</v>
      </c>
      <c r="B7" s="12">
        <f>VLOOKUP(A7,Dataset!A3:H41, 7,FALSE)</f>
        <v>2.7</v>
      </c>
      <c r="C7" s="12">
        <f>VLOOKUP(A7,Dataset!A3:O41, 14,FALSE)</f>
        <v>7.6</v>
      </c>
      <c r="D7" s="12">
        <f>VLOOKUP(A7,Dataset!A3:X41, 18,FALSE)</f>
        <v>4.2</v>
      </c>
      <c r="E7" s="12">
        <f>VLOOKUP(A7,Dataset!A3:X41,20,FALSE)</f>
        <v>8.9</v>
      </c>
      <c r="F7" s="8">
        <f>VLOOKUP(A7,Dataset!A3:X41, 22,FALSE)</f>
        <v>4.2</v>
      </c>
    </row>
    <row r="8" spans="1:7" ht="14.4" x14ac:dyDescent="0.3">
      <c r="A8" s="7" t="s">
        <v>7</v>
      </c>
      <c r="B8" s="12">
        <f>VLOOKUP(A8,Dataset!A4:H42, 7,FALSE)</f>
        <v>3.6</v>
      </c>
      <c r="C8" s="12">
        <f>VLOOKUP(A8,Dataset!A4:O42, 14,FALSE)</f>
        <v>11.1</v>
      </c>
      <c r="D8" s="12">
        <f>VLOOKUP(A8,Dataset!A4:X42, 18,FALSE)</f>
        <v>5.8</v>
      </c>
      <c r="E8" s="12">
        <f>VLOOKUP(A8,Dataset!A4:X42,20,FALSE)</f>
        <v>12.2</v>
      </c>
      <c r="F8" s="8">
        <f>VLOOKUP(A8,Dataset!A4:X42, 22,FALSE)</f>
        <v>5.8</v>
      </c>
    </row>
    <row r="9" spans="1:7" ht="14.4" x14ac:dyDescent="0.3">
      <c r="A9" s="7" t="s">
        <v>8</v>
      </c>
      <c r="B9" s="12">
        <f>VLOOKUP(A9,Dataset!A5:H43, 7,FALSE)</f>
        <v>4.9000000000000004</v>
      </c>
      <c r="C9" s="12">
        <f>VLOOKUP(A9,Dataset!A5:O43, 14,FALSE)</f>
        <v>13.3</v>
      </c>
      <c r="D9" s="12">
        <f>VLOOKUP(A9,Dataset!A5:X43, 18,FALSE)</f>
        <v>8.1</v>
      </c>
      <c r="E9" s="12">
        <f>VLOOKUP(A9,Dataset!A5:X43,20,FALSE)</f>
        <v>17</v>
      </c>
      <c r="F9" s="8">
        <f>VLOOKUP(A9,Dataset!A5:X43, 22,FALSE)</f>
        <v>8.1</v>
      </c>
    </row>
    <row r="10" spans="1:7" ht="14.4" x14ac:dyDescent="0.3">
      <c r="A10" s="7" t="s">
        <v>11</v>
      </c>
      <c r="B10" s="12">
        <f>VLOOKUP(A10,Dataset!A6:H44, 7,FALSE)</f>
        <v>9.4</v>
      </c>
      <c r="C10" s="12">
        <f>VLOOKUP(A10,Dataset!A6:O44, 14,FALSE)</f>
        <v>28.3</v>
      </c>
      <c r="D10" s="12">
        <f>VLOOKUP(A10,Dataset!A6:X44, 18,FALSE)</f>
        <v>16.100000000000001</v>
      </c>
      <c r="E10" s="12">
        <f>VLOOKUP(A10,Dataset!A6:X44,20,FALSE)</f>
        <v>32.799999999999997</v>
      </c>
      <c r="F10" s="8">
        <f>VLOOKUP(A10,Dataset!A6:X44, 22,FALSE)</f>
        <v>16.100000000000001</v>
      </c>
    </row>
    <row r="11" spans="1:7" ht="14.4" x14ac:dyDescent="0.3">
      <c r="A11" s="7" t="s">
        <v>12</v>
      </c>
      <c r="B11" s="12">
        <f>VLOOKUP(A11,Dataset!A7:H45, 7,FALSE)</f>
        <v>11.6</v>
      </c>
      <c r="C11" s="12">
        <f>VLOOKUP(A11,Dataset!A7:O45, 14,FALSE)</f>
        <v>35.200000000000003</v>
      </c>
      <c r="D11" s="12">
        <f>VLOOKUP(A11,Dataset!A7:X45, 18,FALSE)</f>
        <v>21.3</v>
      </c>
      <c r="E11" s="12">
        <f>VLOOKUP(A11,Dataset!A7:X45,20,FALSE)</f>
        <v>43</v>
      </c>
      <c r="F11" s="8">
        <f>VLOOKUP(A11,Dataset!A7:X45, 22,FALSE)</f>
        <v>21.3</v>
      </c>
    </row>
    <row r="12" spans="1:7" ht="14.4" x14ac:dyDescent="0.3">
      <c r="A12" s="7" t="s">
        <v>14</v>
      </c>
      <c r="B12" s="12">
        <f>VLOOKUP(A12,Dataset!A8:H46, 7,FALSE)</f>
        <v>18.399999999999999</v>
      </c>
      <c r="C12" s="12">
        <f>VLOOKUP(A12,Dataset!A8:O46, 14,FALSE)</f>
        <v>55.6</v>
      </c>
      <c r="D12" s="12">
        <f>VLOOKUP(A12,Dataset!A8:X46, 18,FALSE)</f>
        <v>33.799999999999997</v>
      </c>
      <c r="E12" s="12">
        <f>VLOOKUP(A12,Dataset!A8:X46,20,FALSE)</f>
        <v>67.900000000000006</v>
      </c>
      <c r="F12" s="8">
        <f>VLOOKUP(A12,Dataset!A8:X46, 22,FALSE)</f>
        <v>33.799999999999997</v>
      </c>
    </row>
    <row r="13" spans="1:7" ht="14.4" x14ac:dyDescent="0.3">
      <c r="A13" s="7" t="s">
        <v>15</v>
      </c>
      <c r="B13" s="12">
        <f>VLOOKUP(A13,Dataset!A9:H47, 7,FALSE)</f>
        <v>0</v>
      </c>
      <c r="C13" s="12">
        <f>VLOOKUP(A13,Dataset!A9:O47, 14,FALSE)</f>
        <v>0</v>
      </c>
      <c r="D13" s="12">
        <f>VLOOKUP(A13,Dataset!A9:X47, 18,FALSE)</f>
        <v>0</v>
      </c>
      <c r="E13" s="12">
        <f>VLOOKUP(A13,Dataset!A9:X47,20,FALSE)</f>
        <v>0</v>
      </c>
      <c r="F13" s="8">
        <f>VLOOKUP(A13,Dataset!A9:X47, 22,FALSE)</f>
        <v>0</v>
      </c>
    </row>
    <row r="14" spans="1:7" ht="14.4" x14ac:dyDescent="0.3">
      <c r="A14" s="7" t="s">
        <v>16</v>
      </c>
      <c r="B14" s="12">
        <f>VLOOKUP(A14,Dataset!A10:H48, 7,FALSE)</f>
        <v>21.9</v>
      </c>
      <c r="C14" s="12">
        <f>VLOOKUP(A14,Dataset!A10:O48, 14,FALSE)</f>
        <v>61.5</v>
      </c>
      <c r="D14" s="12">
        <f>VLOOKUP(A14,Dataset!A10:X48, 18,FALSE)</f>
        <v>40.1</v>
      </c>
      <c r="E14" s="12">
        <f>VLOOKUP(A14,Dataset!A10:X48,20,FALSE)</f>
        <v>76.599999999999994</v>
      </c>
      <c r="F14" s="8">
        <f>VLOOKUP(A14,Dataset!A10:X48, 22,FALSE)</f>
        <v>40.1</v>
      </c>
    </row>
    <row r="15" spans="1:7" ht="14.4" x14ac:dyDescent="0.3">
      <c r="A15" s="7" t="s">
        <v>18</v>
      </c>
      <c r="B15" s="12">
        <f>VLOOKUP(A15,Dataset!A11:H49, 7,FALSE)</f>
        <v>26.8</v>
      </c>
      <c r="C15" s="12">
        <f>VLOOKUP(A15,Dataset!A11:O49, 14,FALSE)</f>
        <v>79.599999999999994</v>
      </c>
      <c r="D15" s="12">
        <f>VLOOKUP(A15,Dataset!A11:X49, 18,FALSE)</f>
        <v>47.9</v>
      </c>
      <c r="E15" s="12">
        <f>VLOOKUP(A15,Dataset!A11:X49,20,FALSE)</f>
        <v>96.8</v>
      </c>
      <c r="F15" s="8">
        <f>VLOOKUP(A15,Dataset!A11:X49, 22,FALSE)</f>
        <v>47.9</v>
      </c>
    </row>
    <row r="16" spans="1:7" ht="14.4" x14ac:dyDescent="0.3">
      <c r="A16" s="7" t="s">
        <v>20</v>
      </c>
      <c r="B16" s="12">
        <f>VLOOKUP(A16,Dataset!A12:H50, 7,FALSE)</f>
        <v>28.5</v>
      </c>
      <c r="C16" s="12">
        <f>VLOOKUP(A16,Dataset!A12:O50, 14,FALSE)</f>
        <v>85.4</v>
      </c>
      <c r="D16" s="12">
        <f>VLOOKUP(A16,Dataset!A12:X50, 18,FALSE)</f>
        <v>52.3</v>
      </c>
      <c r="E16" s="12">
        <f>VLOOKUP(A16,Dataset!A12:X50,20,FALSE)</f>
        <v>106.1</v>
      </c>
      <c r="F16" s="8">
        <f>VLOOKUP(A16,Dataset!A12:X50, 22,FALSE)</f>
        <v>52.3</v>
      </c>
    </row>
    <row r="17" spans="1:6" ht="14.4" x14ac:dyDescent="0.3">
      <c r="A17" s="7" t="s">
        <v>22</v>
      </c>
      <c r="B17" s="12">
        <f>VLOOKUP(A17,Dataset!A13:H51, 7,FALSE)</f>
        <v>30.7</v>
      </c>
      <c r="C17" s="12">
        <f>VLOOKUP(A17,Dataset!A13:O51, 14,FALSE)</f>
        <v>92.1</v>
      </c>
      <c r="D17" s="12">
        <f>VLOOKUP(A17,Dataset!A13:X51, 18,FALSE)</f>
        <v>57</v>
      </c>
      <c r="E17" s="12">
        <f>VLOOKUP(A17,Dataset!A13:X51,20,FALSE)</f>
        <v>115.1</v>
      </c>
      <c r="F17" s="8">
        <f>VLOOKUP(A17,Dataset!A13:X51, 22,FALSE)</f>
        <v>57</v>
      </c>
    </row>
    <row r="18" spans="1:6" ht="14.4" x14ac:dyDescent="0.3">
      <c r="A18" s="7" t="s">
        <v>23</v>
      </c>
      <c r="B18" s="12">
        <f>VLOOKUP(A18,Dataset!A14:H52, 7,FALSE)</f>
        <v>33.799999999999997</v>
      </c>
      <c r="C18" s="12">
        <f>VLOOKUP(A18,Dataset!A14:O52, 14,FALSE)</f>
        <v>101.3</v>
      </c>
      <c r="D18" s="12">
        <f>VLOOKUP(A18,Dataset!A14:X52, 18,FALSE)</f>
        <v>61.4</v>
      </c>
      <c r="E18" s="12">
        <f>VLOOKUP(A18,Dataset!A14:X52,20,FALSE)</f>
        <v>124.4</v>
      </c>
      <c r="F18" s="8">
        <f>VLOOKUP(A18,Dataset!A14:X52, 22,FALSE)</f>
        <v>61.4</v>
      </c>
    </row>
    <row r="19" spans="1:6" ht="14.4" x14ac:dyDescent="0.3">
      <c r="A19" s="7" t="s">
        <v>24</v>
      </c>
      <c r="B19" s="12">
        <f>VLOOKUP(A19,Dataset!A15:H53, 7,FALSE)</f>
        <v>34.700000000000003</v>
      </c>
      <c r="C19" s="12">
        <f>VLOOKUP(A19,Dataset!A15:O53, 14,FALSE)</f>
        <v>106.1</v>
      </c>
      <c r="D19" s="12">
        <f>VLOOKUP(A19,Dataset!A15:X53, 18,FALSE)</f>
        <v>63.6</v>
      </c>
      <c r="E19" s="12">
        <f>VLOOKUP(A19,Dataset!A15:X53,20,FALSE)</f>
        <v>128.6</v>
      </c>
      <c r="F19" s="8">
        <f>VLOOKUP(A19,Dataset!A15:X53, 22,FALSE)</f>
        <v>63.6</v>
      </c>
    </row>
    <row r="20" spans="1:6" ht="14.4" x14ac:dyDescent="0.3">
      <c r="A20" s="7" t="s">
        <v>28</v>
      </c>
      <c r="B20" s="12">
        <f>VLOOKUP(A20,Dataset!A16:H54, 7,FALSE)</f>
        <v>0</v>
      </c>
      <c r="C20" s="12">
        <f>VLOOKUP(A20,Dataset!A16:O54, 14,FALSE)</f>
        <v>0</v>
      </c>
      <c r="D20" s="12">
        <f>VLOOKUP(A20,Dataset!A16:X54, 18,FALSE)</f>
        <v>0</v>
      </c>
      <c r="E20" s="12">
        <f>VLOOKUP(A20,Dataset!A16:X54,20,FALSE)</f>
        <v>0</v>
      </c>
      <c r="F20" s="8">
        <f>VLOOKUP(A20,Dataset!A16:X54, 22,FALSE)</f>
        <v>0</v>
      </c>
    </row>
    <row r="21" spans="1:6" ht="14.4" x14ac:dyDescent="0.3">
      <c r="A21" s="7" t="s">
        <v>57</v>
      </c>
      <c r="B21" s="12">
        <f>VLOOKUP(A21,Dataset!A17:H55, 7,FALSE)</f>
        <v>41.3</v>
      </c>
      <c r="C21" s="12">
        <f>VLOOKUP(A21,Dataset!A17:O55, 14,FALSE)</f>
        <v>124.4</v>
      </c>
      <c r="D21" s="12">
        <f>VLOOKUP(A21,Dataset!A17:X55, 18,FALSE)</f>
        <v>75</v>
      </c>
      <c r="E21" s="12">
        <f>VLOOKUP(A21,Dataset!A17:X55,20,FALSE)</f>
        <v>151.5</v>
      </c>
      <c r="F21" s="8">
        <f>VLOOKUP(A21,Dataset!A17:X55, 22,FALSE)</f>
        <v>75</v>
      </c>
    </row>
    <row r="22" spans="1:6" ht="14.4" x14ac:dyDescent="0.3">
      <c r="A22" s="7" t="s">
        <v>58</v>
      </c>
      <c r="B22" s="12">
        <f>VLOOKUP(A22,Dataset!A18:H56, 7,FALSE)</f>
        <v>-1</v>
      </c>
      <c r="C22" s="12">
        <f>VLOOKUP(A22,Dataset!A18:O56, 14,FALSE)</f>
        <v>-1</v>
      </c>
      <c r="D22" s="12">
        <f>VLOOKUP(A22,Dataset!A18:X56, 18,FALSE)</f>
        <v>-1</v>
      </c>
      <c r="E22" s="12">
        <f>VLOOKUP(A22,Dataset!A18:X56,20,FALSE)</f>
        <v>-1</v>
      </c>
      <c r="F22" s="8">
        <f>VLOOKUP(A22,Dataset!A18:X56, 22,FALSE)</f>
        <v>-1</v>
      </c>
    </row>
    <row r="23" spans="1:6" ht="14.4" x14ac:dyDescent="0.3">
      <c r="A23" s="7" t="s">
        <v>31</v>
      </c>
      <c r="B23" s="12">
        <f>VLOOKUP(A23,Dataset!A19:H57, 7,FALSE)</f>
        <v>45</v>
      </c>
      <c r="C23" s="12">
        <f>VLOOKUP(A23,Dataset!A19:O57, 14,FALSE)</f>
        <v>133.4</v>
      </c>
      <c r="D23" s="12">
        <f>VLOOKUP(A23,Dataset!A19:X57, 18,FALSE)</f>
        <v>79.400000000000006</v>
      </c>
      <c r="E23" s="12">
        <f>VLOOKUP(A23,Dataset!A19:X57,20,FALSE)</f>
        <v>160.9</v>
      </c>
      <c r="F23" s="8">
        <f>VLOOKUP(A23,Dataset!A19:X57, 22,FALSE)</f>
        <v>79.400000000000006</v>
      </c>
    </row>
    <row r="24" spans="1:6" ht="14.4" x14ac:dyDescent="0.3">
      <c r="A24" s="7" t="s">
        <v>32</v>
      </c>
      <c r="B24" s="12">
        <f>VLOOKUP(A24,Dataset!A20:H58, 7,FALSE)</f>
        <v>-1</v>
      </c>
      <c r="C24" s="12">
        <f>VLOOKUP(A24,Dataset!A20:O58, 14,FALSE)</f>
        <v>-1</v>
      </c>
      <c r="D24" s="12">
        <f>VLOOKUP(A24,Dataset!A20:X58, 18,FALSE)</f>
        <v>-1</v>
      </c>
      <c r="E24" s="12">
        <f>VLOOKUP(A24,Dataset!A20:X58,20,FALSE)</f>
        <v>-1</v>
      </c>
      <c r="F24" s="8">
        <f>VLOOKUP(A24,Dataset!A20:X58, 22,FALSE)</f>
        <v>-1</v>
      </c>
    </row>
    <row r="25" spans="1:6" ht="14.4" x14ac:dyDescent="0.3">
      <c r="A25" s="7" t="s">
        <v>34</v>
      </c>
      <c r="B25" s="12">
        <f>VLOOKUP(A25,Dataset!A21:H59, 7,FALSE)</f>
        <v>43.3</v>
      </c>
      <c r="C25" s="12">
        <f>VLOOKUP(A25,Dataset!A21:O59, 14,FALSE)</f>
        <v>128.6</v>
      </c>
      <c r="D25" s="12">
        <f>VLOOKUP(A25,Dataset!A21:X59, 18,FALSE)</f>
        <v>79.400000000000006</v>
      </c>
      <c r="E25" s="12">
        <f>VLOOKUP(A25,Dataset!A21:X59,20,FALSE)</f>
        <v>160.9</v>
      </c>
      <c r="F25" s="8">
        <f>VLOOKUP(A25,Dataset!A21:X59, 22,FALSE)</f>
        <v>79.400000000000006</v>
      </c>
    </row>
    <row r="26" spans="1:6" ht="14.4" x14ac:dyDescent="0.3">
      <c r="A26" s="7" t="s">
        <v>37</v>
      </c>
      <c r="B26" s="12">
        <f>VLOOKUP(A26,Dataset!A22:H60, 7,FALSE)</f>
        <v>49.1</v>
      </c>
      <c r="C26" s="12">
        <f>VLOOKUP(A26,Dataset!A22:O60, 14,FALSE)</f>
        <v>146.80000000000001</v>
      </c>
      <c r="D26" s="12">
        <f>VLOOKUP(A26,Dataset!A22:X60, 18,FALSE)</f>
        <v>90.9</v>
      </c>
      <c r="E26" s="12">
        <f>VLOOKUP(A26,Dataset!A22:X60,20,FALSE)</f>
        <v>183.5</v>
      </c>
      <c r="F26" s="8">
        <f>VLOOKUP(A26,Dataset!A22:X60, 22,FALSE)</f>
        <v>90.9</v>
      </c>
    </row>
    <row r="27" spans="1:6" ht="14.4" x14ac:dyDescent="0.3">
      <c r="A27" s="7" t="s">
        <v>39</v>
      </c>
      <c r="B27" s="12">
        <f>VLOOKUP(A27,Dataset!A23:H61, 7,FALSE)</f>
        <v>51.8</v>
      </c>
      <c r="C27" s="12">
        <f>VLOOKUP(A27,Dataset!A23:O61, 14,FALSE)</f>
        <v>156.4</v>
      </c>
      <c r="D27" s="12">
        <f>VLOOKUP(A27,Dataset!A23:X61, 18,FALSE)</f>
        <v>93.1</v>
      </c>
      <c r="E27" s="12">
        <f>VLOOKUP(A27,Dataset!A23:X61,20,FALSE)</f>
        <v>188.1</v>
      </c>
      <c r="F27" s="8">
        <f>VLOOKUP(A27,Dataset!A23:X61, 22,FALSE)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AVERAGEA(E6:E27)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A27" sqref="A2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2" t="s">
        <v>53</v>
      </c>
      <c r="B5" s="39" t="s">
        <v>181</v>
      </c>
    </row>
    <row r="6" spans="1:10" ht="18" x14ac:dyDescent="0.35">
      <c r="A6" s="42" t="s">
        <v>154</v>
      </c>
      <c r="B6" s="39" t="s">
        <v>182</v>
      </c>
    </row>
    <row r="7" spans="1:10" ht="18" x14ac:dyDescent="0.35">
      <c r="A7" s="42"/>
      <c r="B7" s="39"/>
    </row>
    <row r="9" spans="1:10" ht="23.4" x14ac:dyDescent="0.45">
      <c r="A9" s="17" t="s">
        <v>166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7" t="s">
        <v>163</v>
      </c>
    </row>
    <row r="15" spans="1:10" x14ac:dyDescent="0.3">
      <c r="A15" s="14" t="s">
        <v>103</v>
      </c>
      <c r="B15" s="16" t="s">
        <v>49</v>
      </c>
      <c r="C15" s="15" t="s">
        <v>50</v>
      </c>
      <c r="D15" s="16" t="s">
        <v>51</v>
      </c>
      <c r="E15" s="15" t="s">
        <v>52</v>
      </c>
      <c r="F15" s="16" t="s">
        <v>54</v>
      </c>
    </row>
    <row r="16" spans="1:10" x14ac:dyDescent="0.3">
      <c r="A16" s="7" t="s">
        <v>122</v>
      </c>
      <c r="B16" s="7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123</v>
      </c>
      <c r="B17" s="7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124</v>
      </c>
      <c r="B18" s="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125</v>
      </c>
      <c r="B19" s="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126</v>
      </c>
      <c r="B20" s="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127</v>
      </c>
      <c r="B21" s="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128</v>
      </c>
      <c r="B22" s="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129</v>
      </c>
      <c r="B23" s="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130</v>
      </c>
      <c r="B24" s="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131</v>
      </c>
      <c r="B25" s="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132</v>
      </c>
      <c r="B26" s="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133</v>
      </c>
      <c r="B27" s="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134</v>
      </c>
      <c r="B28" s="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135</v>
      </c>
      <c r="B29" s="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136</v>
      </c>
      <c r="B30" s="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137</v>
      </c>
      <c r="B31" s="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138</v>
      </c>
      <c r="B32" s="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139</v>
      </c>
      <c r="B33" s="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140</v>
      </c>
      <c r="B34" s="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141</v>
      </c>
      <c r="B35" s="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142</v>
      </c>
      <c r="B36" s="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143</v>
      </c>
      <c r="B37" s="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144</v>
      </c>
      <c r="B38" s="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145</v>
      </c>
      <c r="B39" s="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146</v>
      </c>
      <c r="B40" s="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147</v>
      </c>
      <c r="B41" s="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148</v>
      </c>
      <c r="B42" s="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149</v>
      </c>
      <c r="B43" s="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150</v>
      </c>
      <c r="B44" s="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151</v>
      </c>
      <c r="B45" s="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113</v>
      </c>
      <c r="B46" s="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114</v>
      </c>
      <c r="B47" s="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115</v>
      </c>
      <c r="B48" s="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116</v>
      </c>
      <c r="B49" s="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117</v>
      </c>
      <c r="B50" s="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118</v>
      </c>
      <c r="B51" s="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119</v>
      </c>
      <c r="B52" s="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120</v>
      </c>
      <c r="B53" s="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121</v>
      </c>
      <c r="B54" s="9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4"/>
  <sheetViews>
    <sheetView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1" t="s">
        <v>85</v>
      </c>
      <c r="B1" s="40" t="s">
        <v>168</v>
      </c>
    </row>
    <row r="2" spans="1:4" ht="18" x14ac:dyDescent="0.35">
      <c r="B2" s="39" t="s">
        <v>167</v>
      </c>
    </row>
    <row r="5" spans="1:4" ht="14.4" x14ac:dyDescent="0.3">
      <c r="B5" s="1" t="s">
        <v>152</v>
      </c>
    </row>
    <row r="6" spans="1:4" ht="14.4" x14ac:dyDescent="0.3">
      <c r="A6" s="3" t="s">
        <v>53</v>
      </c>
      <c r="B6" s="1" t="s">
        <v>180</v>
      </c>
    </row>
    <row r="7" spans="1:4" ht="14.4" x14ac:dyDescent="0.3">
      <c r="A7" s="3" t="s">
        <v>154</v>
      </c>
      <c r="B7" s="1" t="s">
        <v>179</v>
      </c>
    </row>
    <row r="10" spans="1:4" ht="23.4" x14ac:dyDescent="0.45">
      <c r="A10" s="17" t="s">
        <v>163</v>
      </c>
    </row>
    <row r="11" spans="1:4" ht="14.4" x14ac:dyDescent="0.3">
      <c r="A11" s="31" t="s">
        <v>86</v>
      </c>
      <c r="B11" s="16" t="s">
        <v>87</v>
      </c>
      <c r="C11" s="16" t="s">
        <v>88</v>
      </c>
    </row>
    <row r="12" spans="1:4" ht="14.4" x14ac:dyDescent="0.3">
      <c r="A12" s="31">
        <v>44927</v>
      </c>
      <c r="B12" s="16" t="s">
        <v>59</v>
      </c>
      <c r="C12" s="16">
        <v>200</v>
      </c>
      <c r="D12" s="2">
        <f>IFERROR(VLOOKUP(A12, $A$11:$C$21,3,FALSE), 20)</f>
        <v>200</v>
      </c>
    </row>
    <row r="13" spans="1:4" ht="14.4" x14ac:dyDescent="0.3">
      <c r="A13" s="31">
        <v>44928</v>
      </c>
      <c r="B13" s="16" t="s">
        <v>60</v>
      </c>
      <c r="C13" s="16" t="e">
        <v>#N/A</v>
      </c>
      <c r="D13" s="2">
        <f t="shared" ref="D13:D20" si="0">IFERROR(VLOOKUP(A13, $A$11:$C$21,3,FALSE), 20)</f>
        <v>20</v>
      </c>
    </row>
    <row r="14" spans="1:4" ht="14.4" x14ac:dyDescent="0.3">
      <c r="A14" s="31">
        <v>44929</v>
      </c>
      <c r="B14" s="16" t="s">
        <v>61</v>
      </c>
      <c r="C14" s="16">
        <v>50</v>
      </c>
      <c r="D14" s="2">
        <f t="shared" si="0"/>
        <v>50</v>
      </c>
    </row>
    <row r="15" spans="1:4" ht="14.4" x14ac:dyDescent="0.3">
      <c r="A15" s="31">
        <v>44930</v>
      </c>
      <c r="B15" s="16" t="s">
        <v>62</v>
      </c>
      <c r="C15" s="16" t="e">
        <v>#N/A</v>
      </c>
      <c r="D15" s="2">
        <f t="shared" si="0"/>
        <v>20</v>
      </c>
    </row>
    <row r="16" spans="1:4" ht="14.4" x14ac:dyDescent="0.3">
      <c r="A16" s="31">
        <v>44931</v>
      </c>
      <c r="B16" s="16" t="s">
        <v>63</v>
      </c>
      <c r="C16" s="16">
        <v>10</v>
      </c>
      <c r="D16" s="2">
        <f t="shared" si="0"/>
        <v>10</v>
      </c>
    </row>
    <row r="17" spans="1:4" ht="14.4" x14ac:dyDescent="0.3">
      <c r="A17" s="31">
        <v>44932</v>
      </c>
      <c r="B17" s="16" t="s">
        <v>155</v>
      </c>
      <c r="C17" s="16">
        <v>150</v>
      </c>
      <c r="D17" s="2">
        <f t="shared" si="0"/>
        <v>150</v>
      </c>
    </row>
    <row r="18" spans="1:4" ht="14.4" x14ac:dyDescent="0.3">
      <c r="A18" s="31">
        <v>44933</v>
      </c>
      <c r="B18" s="16" t="s">
        <v>156</v>
      </c>
      <c r="C18" s="16">
        <v>80</v>
      </c>
      <c r="D18" s="2">
        <f t="shared" si="0"/>
        <v>80</v>
      </c>
    </row>
    <row r="19" spans="1:4" ht="14.4" x14ac:dyDescent="0.3">
      <c r="A19" s="31">
        <v>44934</v>
      </c>
      <c r="B19" s="16" t="s">
        <v>157</v>
      </c>
      <c r="C19" s="16" t="e">
        <v>#N/A</v>
      </c>
      <c r="D19" s="2">
        <f t="shared" si="0"/>
        <v>20</v>
      </c>
    </row>
    <row r="20" spans="1:4" ht="14.4" x14ac:dyDescent="0.3">
      <c r="A20" s="31">
        <v>44935</v>
      </c>
      <c r="B20" s="16" t="s">
        <v>158</v>
      </c>
      <c r="C20" s="16">
        <v>30</v>
      </c>
      <c r="D20" s="2">
        <f t="shared" si="0"/>
        <v>30</v>
      </c>
    </row>
    <row r="21" spans="1:4" ht="14.4" x14ac:dyDescent="0.3">
      <c r="A21" s="31">
        <v>44936</v>
      </c>
      <c r="B21" s="16" t="s">
        <v>159</v>
      </c>
      <c r="C21" s="16" t="e">
        <v>#N/A</v>
      </c>
      <c r="D21" s="2">
        <f>IFERROR(VLOOKUP(A21, $A$11:$C$21,3,FALSE), 20)</f>
        <v>20</v>
      </c>
    </row>
    <row r="22" spans="1:4" ht="14.4" x14ac:dyDescent="0.3">
      <c r="B22" s="16" t="s">
        <v>160</v>
      </c>
      <c r="C22" s="24">
        <f>SUM(D12:D21)</f>
        <v>600</v>
      </c>
      <c r="D22" s="2">
        <f>SUM(D12:D21)</f>
        <v>600</v>
      </c>
    </row>
    <row r="23" spans="1:4" x14ac:dyDescent="0.3">
      <c r="C23"/>
    </row>
    <row r="24" spans="1:4" x14ac:dyDescent="0.3">
      <c r="C2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opLeftCell="A8" zoomScaleNormal="100" workbookViewId="0">
      <selection activeCell="J24" sqref="J2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5" ht="21" x14ac:dyDescent="0.4">
      <c r="A1" s="41" t="s">
        <v>98</v>
      </c>
      <c r="B1" s="40" t="s">
        <v>176</v>
      </c>
    </row>
    <row r="3" spans="1:15" ht="14.4" x14ac:dyDescent="0.3">
      <c r="B3" s="1" t="s">
        <v>152</v>
      </c>
    </row>
    <row r="4" spans="1:15" ht="18" x14ac:dyDescent="0.35">
      <c r="A4" s="42" t="s">
        <v>53</v>
      </c>
      <c r="B4" s="1"/>
      <c r="C4" s="2" t="s">
        <v>186</v>
      </c>
    </row>
    <row r="5" spans="1:15" ht="18" x14ac:dyDescent="0.35">
      <c r="A5" s="42" t="s">
        <v>154</v>
      </c>
      <c r="B5" s="1"/>
      <c r="C5" s="2" t="s">
        <v>187</v>
      </c>
    </row>
    <row r="6" spans="1:15" ht="14.4" x14ac:dyDescent="0.3">
      <c r="A6" s="3"/>
      <c r="B6" s="1"/>
      <c r="C6" s="2" t="s">
        <v>188</v>
      </c>
    </row>
    <row r="7" spans="1:15" x14ac:dyDescent="0.3">
      <c r="C7" s="2" t="s">
        <v>189</v>
      </c>
    </row>
    <row r="8" spans="1:15" ht="23.4" x14ac:dyDescent="0.45">
      <c r="A8" s="17" t="s">
        <v>163</v>
      </c>
      <c r="M8" s="17" t="s">
        <v>164</v>
      </c>
    </row>
    <row r="9" spans="1:15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5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2">
        <v>10100</v>
      </c>
      <c r="N10" s="12" t="s">
        <v>89</v>
      </c>
      <c r="O10" s="2">
        <v>1</v>
      </c>
    </row>
    <row r="11" spans="1:15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2">
        <v>10102</v>
      </c>
      <c r="N11" s="12" t="s">
        <v>90</v>
      </c>
      <c r="O11" s="2">
        <v>2</v>
      </c>
    </row>
    <row r="12" spans="1:15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2">
        <v>10104</v>
      </c>
      <c r="N12" s="12" t="s">
        <v>91</v>
      </c>
      <c r="O12" s="2">
        <v>3</v>
      </c>
    </row>
    <row r="13" spans="1:15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2">
        <v>10106</v>
      </c>
      <c r="N13" s="12" t="s">
        <v>92</v>
      </c>
      <c r="O13" s="2">
        <v>4</v>
      </c>
    </row>
    <row r="14" spans="1:15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2">
        <v>10108</v>
      </c>
      <c r="N14" s="12" t="s">
        <v>93</v>
      </c>
      <c r="O14" s="2">
        <v>5</v>
      </c>
    </row>
    <row r="15" spans="1:15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2">
        <v>10110</v>
      </c>
      <c r="N15" s="12" t="s">
        <v>94</v>
      </c>
      <c r="O15" s="2">
        <v>6</v>
      </c>
    </row>
    <row r="16" spans="1:15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2">
        <v>10112</v>
      </c>
      <c r="N16" s="12" t="s">
        <v>95</v>
      </c>
      <c r="O16" s="2">
        <v>7</v>
      </c>
    </row>
    <row r="17" spans="1:15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2">
        <v>10114</v>
      </c>
      <c r="N17" s="12" t="s">
        <v>96</v>
      </c>
      <c r="O17" s="2">
        <v>8</v>
      </c>
    </row>
    <row r="18" spans="1:15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3">
        <v>10116</v>
      </c>
      <c r="N18" s="13" t="s">
        <v>97</v>
      </c>
      <c r="O18" s="2">
        <v>9</v>
      </c>
    </row>
    <row r="21" spans="1:15" ht="24" thickBot="1" x14ac:dyDescent="0.5">
      <c r="A21" s="17" t="s">
        <v>169</v>
      </c>
    </row>
    <row r="22" spans="1:15" ht="14.4" x14ac:dyDescent="0.3">
      <c r="A22" s="14" t="s">
        <v>100</v>
      </c>
      <c r="B22" s="16" t="s">
        <v>101</v>
      </c>
      <c r="C22" s="15" t="s">
        <v>102</v>
      </c>
      <c r="D22" s="45" t="s">
        <v>185</v>
      </c>
      <c r="E22" s="46" t="s">
        <v>183</v>
      </c>
      <c r="F22" s="47" t="s">
        <v>184</v>
      </c>
    </row>
    <row r="23" spans="1:15" ht="14.4" x14ac:dyDescent="0.3">
      <c r="A23" s="7">
        <v>10100</v>
      </c>
      <c r="B23" s="12">
        <v>10102</v>
      </c>
      <c r="C23" s="2">
        <f>INDEX($B$10:$J$18, MATCH(A23,$M$10:$M$18,0), MATCH(B23,$M$10:$M$18,0))</f>
        <v>95</v>
      </c>
      <c r="D23" s="48">
        <f>INDEX($B$10:$J$18,E23,F23)</f>
        <v>95</v>
      </c>
      <c r="E23" s="2">
        <f>MATCH(A23,$M$10:$M$18,0)</f>
        <v>1</v>
      </c>
      <c r="F23" s="49">
        <f>MATCH(B23,$M$10:$M$18,0)</f>
        <v>2</v>
      </c>
    </row>
    <row r="24" spans="1:15" ht="14.4" x14ac:dyDescent="0.3">
      <c r="A24" s="7">
        <v>10100</v>
      </c>
      <c r="B24" s="12">
        <v>10104</v>
      </c>
      <c r="C24" s="2">
        <f t="shared" ref="C24:C35" si="0">INDEX($B$10:$J$18, MATCH(A24,$M$10:$M$18,0), MATCH(B24,$M$10:$M$18,0))</f>
        <v>-1</v>
      </c>
      <c r="D24" s="48">
        <f t="shared" ref="D24:D35" si="1">INDEX($B$10:$J$18,E24,F24)</f>
        <v>-1</v>
      </c>
      <c r="E24" s="2">
        <f t="shared" ref="E24:E35" si="2">MATCH(A24,$M$10:$M$18,0)</f>
        <v>1</v>
      </c>
      <c r="F24" s="49">
        <f t="shared" ref="F24:F35" si="3">MATCH(B24,$M$10:$M$18,0)</f>
        <v>3</v>
      </c>
    </row>
    <row r="25" spans="1:15" ht="14.4" x14ac:dyDescent="0.3">
      <c r="A25" s="7">
        <v>10108</v>
      </c>
      <c r="B25" s="12">
        <v>10102</v>
      </c>
      <c r="C25" s="2">
        <f t="shared" si="0"/>
        <v>160</v>
      </c>
      <c r="D25" s="48">
        <f t="shared" si="1"/>
        <v>160</v>
      </c>
      <c r="E25" s="2">
        <f t="shared" si="2"/>
        <v>5</v>
      </c>
      <c r="F25" s="49">
        <f t="shared" si="3"/>
        <v>2</v>
      </c>
    </row>
    <row r="26" spans="1:15" ht="14.4" x14ac:dyDescent="0.3">
      <c r="A26" s="7">
        <v>10100</v>
      </c>
      <c r="B26" s="12">
        <v>10106</v>
      </c>
      <c r="C26" s="2">
        <f t="shared" si="0"/>
        <v>185</v>
      </c>
      <c r="D26" s="48">
        <f t="shared" si="1"/>
        <v>185</v>
      </c>
      <c r="E26" s="2">
        <f t="shared" si="2"/>
        <v>1</v>
      </c>
      <c r="F26" s="49">
        <f t="shared" si="3"/>
        <v>4</v>
      </c>
      <c r="G26" s="53" t="s">
        <v>190</v>
      </c>
    </row>
    <row r="27" spans="1:15" ht="14.4" x14ac:dyDescent="0.3">
      <c r="A27" s="7">
        <v>10108</v>
      </c>
      <c r="B27" s="12">
        <v>10110</v>
      </c>
      <c r="C27" s="2">
        <f t="shared" si="0"/>
        <v>50</v>
      </c>
      <c r="D27" s="48">
        <f t="shared" si="1"/>
        <v>50</v>
      </c>
      <c r="E27" s="2">
        <f t="shared" si="2"/>
        <v>5</v>
      </c>
      <c r="F27" s="49">
        <f t="shared" si="3"/>
        <v>6</v>
      </c>
    </row>
    <row r="28" spans="1:15" ht="14.4" x14ac:dyDescent="0.3">
      <c r="A28" s="7">
        <v>10102</v>
      </c>
      <c r="B28" s="12">
        <v>10104</v>
      </c>
      <c r="C28" s="2">
        <f t="shared" si="0"/>
        <v>-1</v>
      </c>
      <c r="D28" s="48">
        <f t="shared" si="1"/>
        <v>-1</v>
      </c>
      <c r="E28" s="2">
        <f t="shared" si="2"/>
        <v>2</v>
      </c>
      <c r="F28" s="49">
        <f t="shared" si="3"/>
        <v>3</v>
      </c>
    </row>
    <row r="29" spans="1:15" ht="14.4" x14ac:dyDescent="0.3">
      <c r="A29" s="7">
        <v>10106</v>
      </c>
      <c r="B29" s="12">
        <v>10108</v>
      </c>
      <c r="C29" s="2">
        <f t="shared" si="0"/>
        <v>70</v>
      </c>
      <c r="D29" s="48">
        <f t="shared" si="1"/>
        <v>70</v>
      </c>
      <c r="E29" s="2">
        <f t="shared" si="2"/>
        <v>4</v>
      </c>
      <c r="F29" s="49">
        <f t="shared" si="3"/>
        <v>5</v>
      </c>
    </row>
    <row r="30" spans="1:15" ht="14.4" x14ac:dyDescent="0.3">
      <c r="A30" s="7">
        <v>10102</v>
      </c>
      <c r="B30" s="12">
        <v>10106</v>
      </c>
      <c r="C30" s="2">
        <f t="shared" si="0"/>
        <v>90</v>
      </c>
      <c r="D30" s="48">
        <f t="shared" si="1"/>
        <v>90</v>
      </c>
      <c r="E30" s="2">
        <f t="shared" si="2"/>
        <v>2</v>
      </c>
      <c r="F30" s="49">
        <f t="shared" si="3"/>
        <v>4</v>
      </c>
    </row>
    <row r="31" spans="1:15" ht="14.4" x14ac:dyDescent="0.3">
      <c r="A31" s="7">
        <v>10110</v>
      </c>
      <c r="B31" s="12">
        <v>10114</v>
      </c>
      <c r="C31" s="2">
        <f t="shared" si="0"/>
        <v>180</v>
      </c>
      <c r="D31" s="48">
        <f t="shared" si="1"/>
        <v>180</v>
      </c>
      <c r="E31" s="2">
        <f t="shared" si="2"/>
        <v>6</v>
      </c>
      <c r="F31" s="49">
        <f t="shared" si="3"/>
        <v>8</v>
      </c>
    </row>
    <row r="32" spans="1:15" ht="14.4" x14ac:dyDescent="0.3">
      <c r="A32" s="7">
        <v>10104</v>
      </c>
      <c r="B32" s="12">
        <v>10106</v>
      </c>
      <c r="C32" s="2">
        <f t="shared" si="0"/>
        <v>60</v>
      </c>
      <c r="D32" s="48">
        <f t="shared" si="1"/>
        <v>60</v>
      </c>
      <c r="E32" s="2">
        <f t="shared" si="2"/>
        <v>3</v>
      </c>
      <c r="F32" s="49">
        <f t="shared" si="3"/>
        <v>4</v>
      </c>
    </row>
    <row r="33" spans="1:6" ht="14.4" x14ac:dyDescent="0.3">
      <c r="A33" s="7">
        <v>10110</v>
      </c>
      <c r="B33" s="12">
        <v>10112</v>
      </c>
      <c r="C33" s="2">
        <f>INDEX($B$10:$J$18, MATCH(A33,$M$10:$M$18,0), MATCH(B33,$M$10:$M$18,0))</f>
        <v>115</v>
      </c>
      <c r="D33" s="48">
        <f t="shared" si="1"/>
        <v>115</v>
      </c>
      <c r="E33" s="2">
        <f t="shared" si="2"/>
        <v>6</v>
      </c>
      <c r="F33" s="49">
        <f t="shared" si="3"/>
        <v>7</v>
      </c>
    </row>
    <row r="34" spans="1:6" ht="14.4" x14ac:dyDescent="0.3">
      <c r="A34" s="7">
        <v>10100</v>
      </c>
      <c r="B34" s="12">
        <v>10114</v>
      </c>
      <c r="C34" s="2">
        <f t="shared" si="0"/>
        <v>480</v>
      </c>
      <c r="D34" s="48">
        <f t="shared" si="1"/>
        <v>480</v>
      </c>
      <c r="E34" s="2">
        <f t="shared" si="2"/>
        <v>1</v>
      </c>
      <c r="F34" s="49">
        <f t="shared" si="3"/>
        <v>8</v>
      </c>
    </row>
    <row r="35" spans="1:6" ht="15" thickBot="1" x14ac:dyDescent="0.35">
      <c r="A35" s="9">
        <v>10112</v>
      </c>
      <c r="B35" s="13">
        <v>10116</v>
      </c>
      <c r="C35" s="2">
        <f t="shared" si="0"/>
        <v>105</v>
      </c>
      <c r="D35" s="50">
        <f t="shared" si="1"/>
        <v>105</v>
      </c>
      <c r="E35" s="51">
        <f t="shared" si="2"/>
        <v>7</v>
      </c>
      <c r="F35" s="52">
        <f t="shared" si="3"/>
        <v>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sayali pawar</cp:lastModifiedBy>
  <dcterms:created xsi:type="dcterms:W3CDTF">2015-02-10T17:33:11Z</dcterms:created>
  <dcterms:modified xsi:type="dcterms:W3CDTF">2023-12-10T18:15:35Z</dcterms:modified>
</cp:coreProperties>
</file>